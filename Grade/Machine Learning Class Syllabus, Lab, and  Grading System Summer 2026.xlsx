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ropbox\Artifical Intellegence\Houston City College (HCC)\02 Introduction to Machine Learning\"/>
    </mc:Choice>
  </mc:AlternateContent>
  <xr:revisionPtr revIDLastSave="0" documentId="13_ncr:1_{8B0E2B16-B178-4CFB-B7E3-970EE56EE5EE}" xr6:coauthVersionLast="47" xr6:coauthVersionMax="47" xr10:uidLastSave="{00000000-0000-0000-0000-000000000000}"/>
  <bookViews>
    <workbookView xWindow="19200" yWindow="0" windowWidth="19200" windowHeight="15600" activeTab="1" xr2:uid="{00000000-000D-0000-FFFF-FFFF00000000}"/>
  </bookViews>
  <sheets>
    <sheet name="MODULE" sheetId="1" r:id="rId1"/>
    <sheet name="LAB" sheetId="2" r:id="rId2"/>
    <sheet name="SUMMARY" sheetId="3" r:id="rId3"/>
  </sheets>
  <definedNames>
    <definedName name="_xlnm._FilterDatabase" localSheetId="1" hidden="1">LAB!$B$1:$G$13</definedName>
    <definedName name="_xlnm._FilterDatabase" localSheetId="0" hidden="1">MODULE!$A$1:$B$25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" i="2" l="1"/>
  <c r="E5" i="3"/>
  <c r="D5" i="3"/>
  <c r="A5" i="3"/>
  <c r="E6" i="3"/>
  <c r="D6" i="3"/>
  <c r="A6" i="3"/>
  <c r="A11" i="2"/>
  <c r="A10" i="2"/>
  <c r="A9" i="2"/>
  <c r="A12" i="2"/>
  <c r="A8" i="2"/>
  <c r="A7" i="2"/>
  <c r="A6" i="2"/>
  <c r="A5" i="2"/>
  <c r="A4" i="2"/>
  <c r="A3" i="2"/>
  <c r="A2" i="2"/>
  <c r="F5" i="3" l="1"/>
  <c r="F6" i="3"/>
  <c r="C8" i="3"/>
  <c r="D7" i="3"/>
  <c r="D4" i="3"/>
  <c r="D3" i="3"/>
  <c r="D2" i="3"/>
  <c r="E7" i="3"/>
  <c r="E4" i="3"/>
  <c r="E3" i="3"/>
  <c r="E2" i="3"/>
  <c r="A7" i="3"/>
  <c r="A4" i="3"/>
  <c r="A3" i="3"/>
  <c r="A2" i="3"/>
  <c r="A3" i="1"/>
  <c r="A4" i="1"/>
  <c r="A5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2" i="1"/>
  <c r="F7" i="3" l="1"/>
  <c r="F3" i="3"/>
  <c r="H3" i="3" s="1"/>
  <c r="F2" i="3"/>
  <c r="G2" i="3" s="1"/>
  <c r="G5" i="3"/>
  <c r="H5" i="3"/>
  <c r="G6" i="3"/>
  <c r="H6" i="3"/>
  <c r="F4" i="3"/>
  <c r="D8" i="3"/>
  <c r="H7" i="3"/>
  <c r="G7" i="3"/>
  <c r="G3" i="3"/>
  <c r="E8" i="3"/>
  <c r="H2" i="3" l="1"/>
  <c r="G4" i="3"/>
  <c r="H4" i="3"/>
  <c r="F8" i="3"/>
  <c r="G8" i="3" l="1"/>
  <c r="H8" i="3" s="1"/>
</calcChain>
</file>

<file path=xl/sharedStrings.xml><?xml version="1.0" encoding="utf-8"?>
<sst xmlns="http://schemas.openxmlformats.org/spreadsheetml/2006/main" count="93" uniqueCount="62">
  <si>
    <t xml:space="preserve"> </t>
  </si>
  <si>
    <t>Machine Learning Tools</t>
  </si>
  <si>
    <t>Start Here</t>
  </si>
  <si>
    <t>Data Preparation &amp; Feature Engineering</t>
  </si>
  <si>
    <t>Evaluating Machine Learning Models</t>
  </si>
  <si>
    <t>Overfitting, Underfitting, and Regularization</t>
  </si>
  <si>
    <t>Decision Trees and Ensemble Methods</t>
  </si>
  <si>
    <t>Ethics, Fairness, and Bias in ML</t>
  </si>
  <si>
    <t>Building ML Pipelines</t>
  </si>
  <si>
    <t>Real-World Applications &amp; Workforce Skills</t>
  </si>
  <si>
    <t>Project Workshop &amp; Review</t>
  </si>
  <si>
    <t>Final Exam or Project &amp; Presentation</t>
  </si>
  <si>
    <t>Unsupervised Learning Clustering &amp; Dimensionality Reduction</t>
  </si>
  <si>
    <t>Hyperparameter Tuning &amp; AutoML</t>
  </si>
  <si>
    <t>Machine Learning Workflow &amp; Types of Learning</t>
  </si>
  <si>
    <t xml:space="preserve">DUE </t>
  </si>
  <si>
    <t>Working with Data &amp; EDA</t>
  </si>
  <si>
    <t>Regression and Classification</t>
  </si>
  <si>
    <t>STATUS</t>
  </si>
  <si>
    <t>SCORE</t>
  </si>
  <si>
    <t>Graded</t>
  </si>
  <si>
    <t>Study</t>
  </si>
  <si>
    <t>MOD</t>
  </si>
  <si>
    <t>TYPE</t>
  </si>
  <si>
    <t>Assignment</t>
  </si>
  <si>
    <t>AI Laboratories</t>
  </si>
  <si>
    <t>A01</t>
  </si>
  <si>
    <t>L02</t>
  </si>
  <si>
    <t>L03</t>
  </si>
  <si>
    <t>L04</t>
  </si>
  <si>
    <t>L05</t>
  </si>
  <si>
    <t>L06</t>
  </si>
  <si>
    <t>L07</t>
  </si>
  <si>
    <t>Tools of Trade</t>
  </si>
  <si>
    <t>Explaratory Data Analysis</t>
  </si>
  <si>
    <t>Model Evaluation</t>
  </si>
  <si>
    <t>Data Preparation</t>
  </si>
  <si>
    <t>NO</t>
  </si>
  <si>
    <t>GROUP</t>
  </si>
  <si>
    <t>Term Project MidTerm</t>
  </si>
  <si>
    <t>Final Project</t>
  </si>
  <si>
    <t>Individual Portfolio</t>
  </si>
  <si>
    <t>TOTAL</t>
  </si>
  <si>
    <t>%</t>
  </si>
  <si>
    <t>COUNT</t>
  </si>
  <si>
    <t>Bonus</t>
  </si>
  <si>
    <t>IP</t>
  </si>
  <si>
    <t>GRADE</t>
  </si>
  <si>
    <t>FP</t>
  </si>
  <si>
    <t>BON</t>
  </si>
  <si>
    <t>Midterm Project: Data Storytelling</t>
  </si>
  <si>
    <t>RESULT</t>
  </si>
  <si>
    <t>MP</t>
  </si>
  <si>
    <t>ReSubmitted</t>
  </si>
  <si>
    <t>DESCRIPTION</t>
  </si>
  <si>
    <t>TAG</t>
  </si>
  <si>
    <t>NO.</t>
  </si>
  <si>
    <t>Submitted</t>
  </si>
  <si>
    <t>Introduction to Machine Learning</t>
  </si>
  <si>
    <t>COURSE PRESENTATION</t>
  </si>
  <si>
    <t xml:space="preserve"> Bonus Student Intro </t>
  </si>
  <si>
    <t>Particpation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</si>
</sst>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73540"/>
      <name val="Arial"/>
      <family val="2"/>
    </font>
    <font>
      <sz val="12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164" fontId="1" fillId="2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Border="1"/>
    <xf numFmtId="164" fontId="2" fillId="0" borderId="0" xfId="0" applyNumberFormat="1" applyFont="1"/>
    <xf numFmtId="0" fontId="0" fillId="3" borderId="0" xfId="0" applyFill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9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7" fillId="3" borderId="1" xfId="0" applyFont="1" applyFill="1" applyBorder="1" applyAlignment="1">
      <alignment horizontal="center"/>
    </xf>
    <xf numFmtId="164" fontId="6" fillId="3" borderId="1" xfId="0" applyNumberFormat="1" applyFont="1" applyFill="1" applyBorder="1"/>
    <xf numFmtId="1" fontId="6" fillId="3" borderId="1" xfId="0" applyNumberFormat="1" applyFont="1" applyFill="1" applyBorder="1" applyAlignment="1">
      <alignment horizontal="center"/>
    </xf>
    <xf numFmtId="0" fontId="5" fillId="3" borderId="0" xfId="0" applyFont="1" applyFill="1"/>
    <xf numFmtId="0" fontId="1" fillId="4" borderId="1" xfId="0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8" fillId="3" borderId="0" xfId="0" applyFont="1" applyFill="1"/>
    <xf numFmtId="0" fontId="0" fillId="0" borderId="0" xfId="0" applyFont="1"/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/>
    <xf numFmtId="164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5"/>
  <sheetViews>
    <sheetView showZeros="0" workbookViewId="0">
      <selection activeCell="A18" sqref="A18"/>
    </sheetView>
  </sheetViews>
  <sheetFormatPr defaultRowHeight="15.75" x14ac:dyDescent="0.25"/>
  <cols>
    <col min="1" max="1" width="6" style="5" bestFit="1" customWidth="1"/>
    <col min="2" max="2" width="59.85546875" style="6" bestFit="1" customWidth="1"/>
  </cols>
  <sheetData>
    <row r="1" spans="1:3" x14ac:dyDescent="0.25">
      <c r="A1" s="1" t="s">
        <v>22</v>
      </c>
      <c r="B1" s="2" t="s">
        <v>59</v>
      </c>
    </row>
    <row r="2" spans="1:3" x14ac:dyDescent="0.25">
      <c r="A2" s="11">
        <f>ROW()-2</f>
        <v>0</v>
      </c>
      <c r="B2" s="11" t="s">
        <v>2</v>
      </c>
    </row>
    <row r="3" spans="1:3" x14ac:dyDescent="0.25">
      <c r="A3" s="13">
        <f t="shared" ref="A3:A18" si="0">ROW()-2</f>
        <v>1</v>
      </c>
      <c r="B3" s="11" t="s">
        <v>58</v>
      </c>
    </row>
    <row r="4" spans="1:3" x14ac:dyDescent="0.25">
      <c r="A4" s="13">
        <f t="shared" si="0"/>
        <v>2</v>
      </c>
      <c r="B4" s="11" t="s">
        <v>1</v>
      </c>
    </row>
    <row r="5" spans="1:3" s="10" customFormat="1" x14ac:dyDescent="0.25">
      <c r="A5" s="13">
        <f t="shared" si="0"/>
        <v>3</v>
      </c>
      <c r="B5" s="11" t="s">
        <v>14</v>
      </c>
    </row>
    <row r="6" spans="1:3" x14ac:dyDescent="0.25">
      <c r="A6" s="13">
        <f t="shared" si="0"/>
        <v>4</v>
      </c>
      <c r="B6" s="11" t="s">
        <v>16</v>
      </c>
    </row>
    <row r="7" spans="1:3" x14ac:dyDescent="0.25">
      <c r="A7" s="13">
        <f t="shared" si="0"/>
        <v>5</v>
      </c>
      <c r="B7" s="11" t="s">
        <v>3</v>
      </c>
    </row>
    <row r="8" spans="1:3" s="10" customFormat="1" x14ac:dyDescent="0.25">
      <c r="A8" s="13">
        <f t="shared" si="0"/>
        <v>6</v>
      </c>
      <c r="B8" s="11" t="s">
        <v>17</v>
      </c>
    </row>
    <row r="9" spans="1:3" s="10" customFormat="1" x14ac:dyDescent="0.25">
      <c r="A9" s="13">
        <f t="shared" si="0"/>
        <v>7</v>
      </c>
      <c r="B9" s="11" t="s">
        <v>4</v>
      </c>
    </row>
    <row r="10" spans="1:3" x14ac:dyDescent="0.25">
      <c r="A10" s="13">
        <f t="shared" si="0"/>
        <v>8</v>
      </c>
      <c r="B10" s="11" t="s">
        <v>5</v>
      </c>
      <c r="C10" t="s">
        <v>0</v>
      </c>
    </row>
    <row r="11" spans="1:3" x14ac:dyDescent="0.25">
      <c r="A11" s="3">
        <f t="shared" si="0"/>
        <v>9</v>
      </c>
      <c r="B11" s="4" t="s">
        <v>6</v>
      </c>
    </row>
    <row r="12" spans="1:3" x14ac:dyDescent="0.25">
      <c r="A12" s="3">
        <f t="shared" si="0"/>
        <v>10</v>
      </c>
      <c r="B12" s="4" t="s">
        <v>12</v>
      </c>
    </row>
    <row r="13" spans="1:3" x14ac:dyDescent="0.25">
      <c r="A13" s="3">
        <f t="shared" si="0"/>
        <v>11</v>
      </c>
      <c r="B13" s="4" t="s">
        <v>13</v>
      </c>
    </row>
    <row r="14" spans="1:3" x14ac:dyDescent="0.25">
      <c r="A14" s="3">
        <f t="shared" si="0"/>
        <v>12</v>
      </c>
      <c r="B14" s="4" t="s">
        <v>7</v>
      </c>
    </row>
    <row r="15" spans="1:3" x14ac:dyDescent="0.25">
      <c r="A15" s="13">
        <f t="shared" si="0"/>
        <v>13</v>
      </c>
      <c r="B15" s="11" t="s">
        <v>8</v>
      </c>
    </row>
    <row r="16" spans="1:3" x14ac:dyDescent="0.25">
      <c r="A16" s="3">
        <f t="shared" si="0"/>
        <v>14</v>
      </c>
      <c r="B16" s="4" t="s">
        <v>9</v>
      </c>
    </row>
    <row r="17" spans="1:2" x14ac:dyDescent="0.25">
      <c r="A17" s="3">
        <f t="shared" si="0"/>
        <v>15</v>
      </c>
      <c r="B17" s="4" t="s">
        <v>10</v>
      </c>
    </row>
    <row r="18" spans="1:2" x14ac:dyDescent="0.25">
      <c r="A18" s="3">
        <f t="shared" si="0"/>
        <v>16</v>
      </c>
      <c r="B18" s="4" t="s">
        <v>11</v>
      </c>
    </row>
    <row r="25" spans="1:2" x14ac:dyDescent="0.25">
      <c r="B25" s="6" t="s">
        <v>0</v>
      </c>
    </row>
  </sheetData>
  <printOptions horizontalCentered="1"/>
  <pageMargins left="0.2" right="0.2" top="0.75" bottom="0.75" header="0.3" footer="0.3"/>
  <pageSetup orientation="landscape" r:id="rId1"/>
  <headerFooter>
    <oddHeader>&amp;C&amp;"-,Bold"&amp;16&amp;A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85E5-1607-4393-A02C-A993BE456A12}">
  <sheetPr>
    <pageSetUpPr fitToPage="1"/>
  </sheetPr>
  <dimension ref="A1:G13"/>
  <sheetViews>
    <sheetView showZeros="0" tabSelected="1" workbookViewId="0">
      <selection activeCell="E17" sqref="E17"/>
    </sheetView>
  </sheetViews>
  <sheetFormatPr defaultRowHeight="15.75" x14ac:dyDescent="0.25"/>
  <cols>
    <col min="1" max="1" width="4.7109375" style="5" bestFit="1" customWidth="1"/>
    <col min="2" max="2" width="5.28515625" style="5" bestFit="1" customWidth="1"/>
    <col min="3" max="3" width="35.28515625" style="6" bestFit="1" customWidth="1"/>
    <col min="4" max="4" width="23.28515625" style="5" bestFit="1" customWidth="1"/>
    <col min="5" max="5" width="9.42578125" style="9" bestFit="1" customWidth="1"/>
    <col min="6" max="6" width="13.140625" style="17" bestFit="1" customWidth="1"/>
    <col min="7" max="7" width="7.28515625" style="20" bestFit="1" customWidth="1"/>
  </cols>
  <sheetData>
    <row r="1" spans="1:7" x14ac:dyDescent="0.25">
      <c r="A1" s="1" t="s">
        <v>56</v>
      </c>
      <c r="B1" s="1" t="s">
        <v>55</v>
      </c>
      <c r="C1" s="2" t="s">
        <v>54</v>
      </c>
      <c r="D1" s="2" t="s">
        <v>23</v>
      </c>
      <c r="E1" s="7" t="s">
        <v>15</v>
      </c>
      <c r="F1" s="7" t="s">
        <v>18</v>
      </c>
      <c r="G1" s="14" t="s">
        <v>19</v>
      </c>
    </row>
    <row r="2" spans="1:7" x14ac:dyDescent="0.25">
      <c r="A2" s="13">
        <f>ROW()-1</f>
        <v>1</v>
      </c>
      <c r="B2" s="13" t="s">
        <v>26</v>
      </c>
      <c r="C2" s="11" t="s">
        <v>2</v>
      </c>
      <c r="D2" s="13" t="s">
        <v>24</v>
      </c>
      <c r="E2" s="12" t="s">
        <v>0</v>
      </c>
      <c r="F2" s="15"/>
      <c r="G2" s="18">
        <v>95</v>
      </c>
    </row>
    <row r="3" spans="1:7" x14ac:dyDescent="0.25">
      <c r="A3" s="13">
        <f t="shared" ref="A3:A13" si="0">ROW()-1</f>
        <v>2</v>
      </c>
      <c r="B3" s="13" t="s">
        <v>27</v>
      </c>
      <c r="C3" s="11" t="s">
        <v>33</v>
      </c>
      <c r="D3" s="21" t="s">
        <v>25</v>
      </c>
      <c r="E3" s="12">
        <v>46186</v>
      </c>
      <c r="F3" s="15" t="s">
        <v>20</v>
      </c>
      <c r="G3" s="18">
        <v>100</v>
      </c>
    </row>
    <row r="4" spans="1:7" x14ac:dyDescent="0.25">
      <c r="A4" s="13">
        <f t="shared" si="0"/>
        <v>3</v>
      </c>
      <c r="B4" s="13" t="s">
        <v>28</v>
      </c>
      <c r="C4" s="11" t="s">
        <v>1</v>
      </c>
      <c r="D4" s="21" t="s">
        <v>25</v>
      </c>
      <c r="E4" s="12">
        <v>46186</v>
      </c>
      <c r="F4" s="15" t="s">
        <v>20</v>
      </c>
      <c r="G4" s="18">
        <v>100</v>
      </c>
    </row>
    <row r="5" spans="1:7" s="10" customFormat="1" x14ac:dyDescent="0.25">
      <c r="A5" s="13">
        <f t="shared" si="0"/>
        <v>4</v>
      </c>
      <c r="B5" s="13" t="s">
        <v>29</v>
      </c>
      <c r="C5" s="11" t="s">
        <v>34</v>
      </c>
      <c r="D5" s="21" t="s">
        <v>25</v>
      </c>
      <c r="E5" s="12">
        <v>46186</v>
      </c>
      <c r="F5" s="15" t="s">
        <v>20</v>
      </c>
      <c r="G5" s="18">
        <v>100</v>
      </c>
    </row>
    <row r="6" spans="1:7" x14ac:dyDescent="0.25">
      <c r="A6" s="13">
        <f t="shared" si="0"/>
        <v>5</v>
      </c>
      <c r="B6" s="13" t="s">
        <v>30</v>
      </c>
      <c r="C6" s="11" t="s">
        <v>36</v>
      </c>
      <c r="D6" s="21" t="s">
        <v>25</v>
      </c>
      <c r="E6" s="12">
        <v>46193</v>
      </c>
      <c r="F6" s="15" t="s">
        <v>53</v>
      </c>
      <c r="G6" s="18">
        <v>94.2</v>
      </c>
    </row>
    <row r="7" spans="1:7" s="38" customFormat="1" x14ac:dyDescent="0.25">
      <c r="A7" s="13">
        <f t="shared" si="0"/>
        <v>6</v>
      </c>
      <c r="B7" s="33" t="s">
        <v>31</v>
      </c>
      <c r="C7" s="34" t="s">
        <v>17</v>
      </c>
      <c r="D7" s="35" t="s">
        <v>25</v>
      </c>
      <c r="E7" s="36">
        <v>46200</v>
      </c>
      <c r="F7" s="15" t="s">
        <v>57</v>
      </c>
      <c r="G7" s="37">
        <v>100</v>
      </c>
    </row>
    <row r="8" spans="1:7" s="43" customFormat="1" x14ac:dyDescent="0.25">
      <c r="A8" s="33">
        <f t="shared" si="0"/>
        <v>7</v>
      </c>
      <c r="B8" s="33" t="s">
        <v>32</v>
      </c>
      <c r="C8" s="34" t="s">
        <v>35</v>
      </c>
      <c r="D8" s="35" t="s">
        <v>25</v>
      </c>
      <c r="E8" s="36">
        <v>46200</v>
      </c>
      <c r="F8" s="15" t="s">
        <v>57</v>
      </c>
      <c r="G8" s="37">
        <v>105</v>
      </c>
    </row>
    <row r="9" spans="1:7" s="44" customFormat="1" x14ac:dyDescent="0.25">
      <c r="A9" s="13">
        <f t="shared" si="0"/>
        <v>8</v>
      </c>
      <c r="B9" s="13" t="s">
        <v>52</v>
      </c>
      <c r="C9" s="51" t="s">
        <v>50</v>
      </c>
      <c r="D9" s="52" t="s">
        <v>39</v>
      </c>
      <c r="E9" s="12">
        <v>46208</v>
      </c>
      <c r="F9" s="15" t="s">
        <v>57</v>
      </c>
      <c r="G9" s="18">
        <v>100</v>
      </c>
    </row>
    <row r="10" spans="1:7" x14ac:dyDescent="0.25">
      <c r="A10" s="45">
        <f t="shared" si="0"/>
        <v>9</v>
      </c>
      <c r="B10" s="45" t="s">
        <v>46</v>
      </c>
      <c r="C10" s="48" t="s">
        <v>41</v>
      </c>
      <c r="D10" s="49" t="s">
        <v>41</v>
      </c>
      <c r="E10" s="46">
        <v>46238</v>
      </c>
      <c r="F10" s="47" t="s">
        <v>21</v>
      </c>
      <c r="G10" s="50">
        <v>100</v>
      </c>
    </row>
    <row r="11" spans="1:7" x14ac:dyDescent="0.25">
      <c r="A11" s="13">
        <f t="shared" si="0"/>
        <v>10</v>
      </c>
      <c r="B11" s="3" t="s">
        <v>48</v>
      </c>
      <c r="C11" s="24" t="s">
        <v>40</v>
      </c>
      <c r="D11" s="21" t="s">
        <v>40</v>
      </c>
      <c r="E11" s="8"/>
      <c r="F11" s="16"/>
      <c r="G11" s="28">
        <v>100</v>
      </c>
    </row>
    <row r="12" spans="1:7" s="10" customFormat="1" x14ac:dyDescent="0.25">
      <c r="A12" s="13">
        <f t="shared" si="0"/>
        <v>11</v>
      </c>
      <c r="B12" s="13" t="s">
        <v>49</v>
      </c>
      <c r="C12" s="11" t="s">
        <v>61</v>
      </c>
      <c r="D12" s="27" t="s">
        <v>45</v>
      </c>
      <c r="E12" s="12" t="s">
        <v>0</v>
      </c>
      <c r="F12" s="15" t="s">
        <v>0</v>
      </c>
      <c r="G12" s="28">
        <v>100</v>
      </c>
    </row>
    <row r="13" spans="1:7" x14ac:dyDescent="0.25">
      <c r="A13" s="13">
        <f t="shared" si="0"/>
        <v>12</v>
      </c>
      <c r="B13" s="13" t="s">
        <v>49</v>
      </c>
      <c r="C13" s="11" t="s">
        <v>60</v>
      </c>
      <c r="D13" s="27" t="s">
        <v>45</v>
      </c>
      <c r="E13" s="12" t="s">
        <v>0</v>
      </c>
      <c r="F13" s="15" t="s">
        <v>0</v>
      </c>
      <c r="G13" s="28">
        <v>100</v>
      </c>
    </row>
  </sheetData>
  <printOptions horizontalCentered="1"/>
  <pageMargins left="0.2" right="0.2" top="0.75" bottom="0.75" header="0.3" footer="0.3"/>
  <pageSetup orientation="landscape" r:id="rId1"/>
  <headerFooter>
    <oddHeader>&amp;C&amp;"-,Bold"&amp;16&amp;A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368D-D64E-4E08-A7B2-33A2C75F396E}">
  <dimension ref="A1:H8"/>
  <sheetViews>
    <sheetView workbookViewId="0">
      <selection activeCell="D32" sqref="D32"/>
    </sheetView>
  </sheetViews>
  <sheetFormatPr defaultRowHeight="15.75" x14ac:dyDescent="0.25"/>
  <cols>
    <col min="1" max="1" width="3.85546875" style="5" bestFit="1" customWidth="1"/>
    <col min="2" max="2" width="25.5703125" style="6" bestFit="1" customWidth="1"/>
    <col min="3" max="3" width="9.140625" style="31"/>
    <col min="4" max="4" width="9.140625" style="5"/>
    <col min="5" max="5" width="9.140625" style="20"/>
    <col min="6" max="6" width="9.140625" style="32"/>
    <col min="7" max="7" width="7.7109375" style="32" bestFit="1" customWidth="1"/>
    <col min="8" max="8" width="8.85546875" style="6"/>
  </cols>
  <sheetData>
    <row r="1" spans="1:8" x14ac:dyDescent="0.25">
      <c r="A1" s="1" t="s">
        <v>37</v>
      </c>
      <c r="B1" s="1" t="s">
        <v>38</v>
      </c>
      <c r="C1" s="25" t="s">
        <v>43</v>
      </c>
      <c r="D1" s="1" t="s">
        <v>19</v>
      </c>
      <c r="E1" s="26" t="s">
        <v>44</v>
      </c>
      <c r="F1" s="29" t="s">
        <v>19</v>
      </c>
      <c r="G1" s="29" t="s">
        <v>51</v>
      </c>
      <c r="H1" s="1" t="s">
        <v>47</v>
      </c>
    </row>
    <row r="2" spans="1:8" x14ac:dyDescent="0.25">
      <c r="A2" s="3">
        <f t="shared" ref="A2:A7" si="0">ROW()-1</f>
        <v>1</v>
      </c>
      <c r="B2" s="23" t="s">
        <v>24</v>
      </c>
      <c r="C2" s="22">
        <v>0.15</v>
      </c>
      <c r="D2" s="3">
        <f>SUMIF(LAB!$D$2:$D$98,B2, LAB!$G$2:$G$98)</f>
        <v>95</v>
      </c>
      <c r="E2" s="19">
        <f>COUNTIF(LAB!$D$2:$D$98,B2)</f>
        <v>1</v>
      </c>
      <c r="F2" s="30">
        <f t="shared" ref="F2:F7" si="1">IF(E2&gt;0,D2/E2,0)</f>
        <v>95</v>
      </c>
      <c r="G2" s="30">
        <f t="shared" ref="G2:G7" si="2">C2*F2</f>
        <v>14.25</v>
      </c>
      <c r="H2" s="18" t="str">
        <f t="shared" ref="H2:H7" si="3">IF(F2&gt;=90,"A",IF(F2&gt;=80,"B",IF(F2&gt;=70,"C",IF(F2&gt;=60,"D","F"))))</f>
        <v>A</v>
      </c>
    </row>
    <row r="3" spans="1:8" x14ac:dyDescent="0.25">
      <c r="A3" s="3">
        <f t="shared" si="0"/>
        <v>2</v>
      </c>
      <c r="B3" s="24" t="s">
        <v>25</v>
      </c>
      <c r="C3" s="22">
        <v>0.25</v>
      </c>
      <c r="D3" s="3">
        <f>SUMIF(LAB!$D$2:$D$98,B3, LAB!$G$2:$G$98)</f>
        <v>599.20000000000005</v>
      </c>
      <c r="E3" s="19">
        <f>COUNTIF(LAB!$D$2:$D$98,B3)</f>
        <v>6</v>
      </c>
      <c r="F3" s="30">
        <f t="shared" si="1"/>
        <v>99.866666666666674</v>
      </c>
      <c r="G3" s="30">
        <f t="shared" si="2"/>
        <v>24.966666666666669</v>
      </c>
      <c r="H3" s="18" t="str">
        <f t="shared" si="3"/>
        <v>A</v>
      </c>
    </row>
    <row r="4" spans="1:8" x14ac:dyDescent="0.25">
      <c r="A4" s="3">
        <f t="shared" si="0"/>
        <v>3</v>
      </c>
      <c r="B4" s="24" t="s">
        <v>39</v>
      </c>
      <c r="C4" s="22">
        <v>0.2</v>
      </c>
      <c r="D4" s="3">
        <f>SUMIF(LAB!$D$2:$D$98,B4, LAB!$G$2:$G$98)</f>
        <v>100</v>
      </c>
      <c r="E4" s="19">
        <f>COUNTIF(LAB!$D$2:$D$98,B4)</f>
        <v>1</v>
      </c>
      <c r="F4" s="30">
        <f t="shared" si="1"/>
        <v>100</v>
      </c>
      <c r="G4" s="30">
        <f t="shared" si="2"/>
        <v>20</v>
      </c>
      <c r="H4" s="18" t="str">
        <f t="shared" si="3"/>
        <v>A</v>
      </c>
    </row>
    <row r="5" spans="1:8" x14ac:dyDescent="0.25">
      <c r="A5" s="3">
        <f t="shared" si="0"/>
        <v>4</v>
      </c>
      <c r="B5" s="24" t="s">
        <v>41</v>
      </c>
      <c r="C5" s="22">
        <v>0.1</v>
      </c>
      <c r="D5" s="3">
        <f>SUMIF(LAB!$D$2:$D$98,B5, LAB!$G$2:$G$98)</f>
        <v>100</v>
      </c>
      <c r="E5" s="19">
        <f>COUNTIF(LAB!$D$2:$D$98,B5)</f>
        <v>1</v>
      </c>
      <c r="F5" s="30">
        <f t="shared" ref="F5" si="4">IF(E5&gt;0,D5/E5,0)</f>
        <v>100</v>
      </c>
      <c r="G5" s="30">
        <f t="shared" ref="G5" si="5">C5*F5</f>
        <v>10</v>
      </c>
      <c r="H5" s="18" t="str">
        <f t="shared" ref="H5" si="6">IF(F5&gt;=90,"A",IF(F5&gt;=80,"B",IF(F5&gt;=70,"C",IF(F5&gt;=60,"D","F"))))</f>
        <v>A</v>
      </c>
    </row>
    <row r="6" spans="1:8" x14ac:dyDescent="0.25">
      <c r="A6" s="3">
        <f t="shared" si="0"/>
        <v>5</v>
      </c>
      <c r="B6" s="24" t="s">
        <v>40</v>
      </c>
      <c r="C6" s="22">
        <v>0.3</v>
      </c>
      <c r="D6" s="3">
        <f>SUMIF(LAB!$D$2:$D$98,B6, LAB!$G$2:$G$98)</f>
        <v>100</v>
      </c>
      <c r="E6" s="19">
        <f>COUNTIF(LAB!$D$2:$D$98,B6)</f>
        <v>1</v>
      </c>
      <c r="F6" s="30">
        <f t="shared" ref="F6" si="7">IF(E6&gt;0,D6/E6,0)</f>
        <v>100</v>
      </c>
      <c r="G6" s="30">
        <f t="shared" ref="G6" si="8">C6*F6</f>
        <v>30</v>
      </c>
      <c r="H6" s="18" t="str">
        <f t="shared" ref="H6" si="9">IF(F6&gt;=90,"A",IF(F6&gt;=80,"B",IF(F6&gt;=70,"C",IF(F6&gt;=60,"D","F"))))</f>
        <v>A</v>
      </c>
    </row>
    <row r="7" spans="1:8" x14ac:dyDescent="0.25">
      <c r="A7" s="3">
        <f t="shared" si="0"/>
        <v>6</v>
      </c>
      <c r="B7" s="24" t="s">
        <v>45</v>
      </c>
      <c r="C7" s="22">
        <v>0.05</v>
      </c>
      <c r="D7" s="3">
        <f>SUMIF(LAB!$D$2:$D$98,B7, LAB!$G$2:$G$98)</f>
        <v>200</v>
      </c>
      <c r="E7" s="19">
        <f>COUNTIF(LAB!$D$2:$D$98,B7)</f>
        <v>2</v>
      </c>
      <c r="F7" s="30">
        <f t="shared" si="1"/>
        <v>100</v>
      </c>
      <c r="G7" s="30">
        <f t="shared" si="2"/>
        <v>5</v>
      </c>
      <c r="H7" s="18" t="str">
        <f t="shared" si="3"/>
        <v>A</v>
      </c>
    </row>
    <row r="8" spans="1:8" x14ac:dyDescent="0.25">
      <c r="A8" s="39" t="s">
        <v>0</v>
      </c>
      <c r="B8" s="39" t="s">
        <v>42</v>
      </c>
      <c r="C8" s="40">
        <f>SUM(C2:C7)</f>
        <v>1.05</v>
      </c>
      <c r="D8" s="41">
        <f>SUM(D2:D7)</f>
        <v>1194.2</v>
      </c>
      <c r="E8" s="41">
        <f>SUM(E2:E7)</f>
        <v>12</v>
      </c>
      <c r="F8" s="42">
        <f>SUM(F2:F7)</f>
        <v>594.86666666666667</v>
      </c>
      <c r="G8" s="42">
        <f>SUM(G2:G7)</f>
        <v>104.21666666666667</v>
      </c>
      <c r="H8" s="41" t="str">
        <f>IF(G8&gt;=90,"A",IF(G8&gt;=80,"B",IF(G8&gt;=70,"C",IF(G8&gt;=60,"D","F"))))</f>
        <v>A</v>
      </c>
    </row>
  </sheetData>
  <pageMargins left="0.7" right="0.7" top="0.75" bottom="0.75" header="0.3" footer="0.3"/>
  <pageSetup orientation="landscape" r:id="rId1"/>
  <headerFooter>
    <oddHeader>&amp;C&amp;"-,Bold"&amp;16&amp;A</oddHeader>
    <oddFooter>Page &amp;P of &amp;N</oddFooter>
  </headerFooter>
  <ignoredErrors>
    <ignoredError sqref="E7 E2:E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</vt:lpstr>
      <vt:lpstr>LAB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</dc:creator>
  <cp:lastModifiedBy>Lenovo</cp:lastModifiedBy>
  <cp:lastPrinted>2026-06-25T13:13:29Z</cp:lastPrinted>
  <dcterms:created xsi:type="dcterms:W3CDTF">2015-06-05T18:17:20Z</dcterms:created>
  <dcterms:modified xsi:type="dcterms:W3CDTF">2026-07-04T19:26:24Z</dcterms:modified>
</cp:coreProperties>
</file>